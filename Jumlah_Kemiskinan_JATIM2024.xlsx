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ACA7392A-9BE2-40D7-B856-89D533CDD544}" xr6:coauthVersionLast="47" xr6:coauthVersionMax="47" xr10:uidLastSave="{00000000-0000-0000-0000-000000000000}"/>
  <bookViews>
    <workbookView xWindow="-110" yWindow="-110" windowWidth="19420" windowHeight="10300" xr2:uid="{8B31955F-423C-4889-A01A-6244D8703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D45" i="1"/>
  <c r="D44" i="1"/>
  <c r="F4" i="1"/>
  <c r="E4" i="1"/>
  <c r="D4" i="1"/>
  <c r="D48" i="1"/>
  <c r="D47" i="1"/>
  <c r="G4" i="1"/>
  <c r="D49" i="1"/>
  <c r="F38" i="1"/>
  <c r="D43" i="1"/>
  <c r="D42" i="1"/>
  <c r="F6" i="1"/>
  <c r="F5" i="1"/>
  <c r="G5" i="1" s="1"/>
  <c r="D11" i="1"/>
  <c r="E11" i="1"/>
  <c r="D23" i="1"/>
  <c r="D17" i="1"/>
  <c r="D34" i="1"/>
  <c r="D29" i="1"/>
  <c r="D20" i="1"/>
  <c r="D25" i="1"/>
  <c r="D26" i="1"/>
  <c r="D24" i="1"/>
  <c r="D31" i="1"/>
  <c r="D12" i="1"/>
  <c r="D15" i="1"/>
  <c r="D7" i="1"/>
  <c r="D27" i="1"/>
  <c r="D37" i="1"/>
  <c r="D21" i="1"/>
  <c r="D28" i="1"/>
  <c r="D19" i="1"/>
  <c r="D16" i="1"/>
  <c r="D22" i="1"/>
  <c r="D9" i="1"/>
  <c r="D14" i="1"/>
  <c r="D8" i="1"/>
  <c r="D13" i="1"/>
  <c r="D18" i="1"/>
  <c r="D5" i="1"/>
  <c r="D10" i="1"/>
  <c r="D6" i="1"/>
  <c r="D32" i="1"/>
  <c r="D30" i="1"/>
  <c r="D40" i="1"/>
  <c r="D35" i="1"/>
  <c r="D33" i="1"/>
  <c r="D36" i="1"/>
  <c r="D38" i="1"/>
  <c r="D39" i="1"/>
  <c r="D41" i="1"/>
  <c r="E41" i="1" l="1"/>
  <c r="E39" i="1"/>
  <c r="E38" i="1"/>
  <c r="E36" i="1"/>
  <c r="E33" i="1"/>
  <c r="E35" i="1"/>
  <c r="E40" i="1"/>
  <c r="E30" i="1"/>
  <c r="E32" i="1"/>
  <c r="E6" i="1"/>
  <c r="E10" i="1"/>
  <c r="E5" i="1"/>
  <c r="E18" i="1"/>
  <c r="E13" i="1"/>
  <c r="E8" i="1"/>
  <c r="E14" i="1"/>
  <c r="E9" i="1"/>
  <c r="E22" i="1"/>
  <c r="E16" i="1"/>
  <c r="E19" i="1"/>
  <c r="E28" i="1"/>
  <c r="E21" i="1"/>
  <c r="E37" i="1"/>
  <c r="E27" i="1"/>
  <c r="E7" i="1"/>
  <c r="E15" i="1"/>
  <c r="E12" i="1"/>
  <c r="E31" i="1"/>
  <c r="E24" i="1"/>
  <c r="E26" i="1"/>
  <c r="E25" i="1"/>
  <c r="E20" i="1"/>
  <c r="E29" i="1"/>
  <c r="E34" i="1"/>
  <c r="E17" i="1"/>
  <c r="E23" i="1"/>
  <c r="F11" i="1" l="1"/>
  <c r="G11" i="1" s="1"/>
  <c r="F41" i="1"/>
  <c r="G41" i="1" s="1"/>
  <c r="F39" i="1"/>
  <c r="G39" i="1" s="1"/>
  <c r="G38" i="1"/>
  <c r="F36" i="1"/>
  <c r="G36" i="1" s="1"/>
  <c r="F33" i="1"/>
  <c r="G33" i="1" s="1"/>
  <c r="F35" i="1"/>
  <c r="G35" i="1" s="1"/>
  <c r="F40" i="1"/>
  <c r="G40" i="1" s="1"/>
  <c r="F30" i="1"/>
  <c r="G30" i="1" s="1"/>
  <c r="F32" i="1"/>
  <c r="G32" i="1" s="1"/>
  <c r="G6" i="1"/>
  <c r="F10" i="1"/>
  <c r="G10" i="1" s="1"/>
  <c r="F18" i="1"/>
  <c r="G18" i="1" s="1"/>
  <c r="F13" i="1"/>
  <c r="G13" i="1" s="1"/>
  <c r="F8" i="1"/>
  <c r="G8" i="1" s="1"/>
  <c r="F14" i="1"/>
  <c r="G14" i="1" s="1"/>
  <c r="F9" i="1"/>
  <c r="G9" i="1" s="1"/>
  <c r="F22" i="1"/>
  <c r="G22" i="1" s="1"/>
  <c r="F16" i="1"/>
  <c r="G16" i="1" s="1"/>
  <c r="F19" i="1"/>
  <c r="G19" i="1" s="1"/>
  <c r="F28" i="1"/>
  <c r="G28" i="1" s="1"/>
  <c r="F21" i="1"/>
  <c r="G21" i="1" s="1"/>
  <c r="F37" i="1"/>
  <c r="G37" i="1" s="1"/>
  <c r="F27" i="1"/>
  <c r="G27" i="1" s="1"/>
  <c r="F7" i="1"/>
  <c r="G7" i="1" s="1"/>
  <c r="F15" i="1"/>
  <c r="G15" i="1" s="1"/>
  <c r="F12" i="1"/>
  <c r="G12" i="1" s="1"/>
  <c r="F31" i="1"/>
  <c r="G31" i="1" s="1"/>
  <c r="F24" i="1"/>
  <c r="G24" i="1" s="1"/>
  <c r="F26" i="1"/>
  <c r="G26" i="1" s="1"/>
  <c r="F25" i="1"/>
  <c r="G25" i="1" s="1"/>
  <c r="F20" i="1"/>
  <c r="G20" i="1" s="1"/>
  <c r="F29" i="1"/>
  <c r="G29" i="1" s="1"/>
  <c r="F34" i="1"/>
  <c r="G34" i="1" s="1"/>
  <c r="F17" i="1"/>
  <c r="G17" i="1" s="1"/>
  <c r="F23" i="1"/>
  <c r="G23" i="1" s="1"/>
</calcChain>
</file>

<file path=xl/sharedStrings.xml><?xml version="1.0" encoding="utf-8"?>
<sst xmlns="http://schemas.openxmlformats.org/spreadsheetml/2006/main" count="54" uniqueCount="45">
  <si>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</si>
  <si>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</si>
  <si>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</si>
  <si>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</si>
  <si>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</si>
  <si>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</si>
  <si>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</si>
  <si>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</si>
  <si>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</si>
  <si>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</si>
  <si>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</si>
  <si>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</si>
  <si>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</si>
  <si>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</si>
  <si>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</si>
  <si>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</si>
  <si>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</si>
  <si>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</si>
  <si>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</si>
  <si>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</si>
  <si>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</si>
  <si>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</si>
  <si>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</si>
  <si>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</si>
  <si>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</si>
  <si>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</si>
  <si>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</si>
  <si>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</si>
  <si>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Pasuruan</t>
  </si>
  <si>
    <t>Surabaya</t>
  </si>
  <si>
    <t>Batu</t>
  </si>
  <si>
    <t>Jumlah Penduduk (Jiwa)</t>
  </si>
  <si>
    <t>Persentase Kemiskinan</t>
  </si>
  <si>
    <t>Kemiskinan (Ribuan)</t>
  </si>
  <si>
    <t>Total</t>
  </si>
  <si>
    <t>Rata-rata</t>
  </si>
  <si>
    <t>Proporsi</t>
  </si>
  <si>
    <t>Total Proporsi</t>
  </si>
  <si>
    <t>Jumlah Kemiskinan di Jawa Timur Tahun 2024</t>
  </si>
  <si>
    <t>xi-xbar</t>
  </si>
  <si>
    <t>(xi-xbar)^2</t>
  </si>
  <si>
    <t>S^2</t>
  </si>
  <si>
    <t>q</t>
  </si>
  <si>
    <t>Total S^2</t>
  </si>
  <si>
    <t>Kabupaten/Kota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</si>
</sst>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1" xfId="0" applyFont="1" applyBorder="1"/>
    <xf numFmtId="164" fontId="3" fillId="0" borderId="1" xfId="1" applyNumberFormat="1" applyFont="1" applyBorder="1" applyAlignment="1">
      <alignment horizontal="center"/>
    </xf>
    <xf numFmtId="0" fontId="3" fillId="0" borderId="0" xfId="0" applyFont="1"/>
    <xf numFmtId="164" fontId="3" fillId="0" borderId="0" xfId="1" applyNumberFormat="1" applyFont="1"/>
    <xf numFmtId="2" fontId="3" fillId="0" borderId="0" xfId="0" applyNumberFormat="1" applyFont="1"/>
    <xf numFmtId="43" fontId="3" fillId="0" borderId="1" xfId="0" applyNumberFormat="1" applyFont="1" applyBorder="1"/>
    <xf numFmtId="2" fontId="2" fillId="0" borderId="0" xfId="0" applyNumberFormat="1" applyFont="1"/>
    <xf numFmtId="43" fontId="2" fillId="0" borderId="0" xfId="0" applyNumberFormat="1" applyFont="1"/>
    <xf numFmtId="43" fontId="3" fillId="0" borderId="1" xfId="1" applyFont="1" applyBorder="1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2" fillId="0" borderId="0" xfId="0" applyFont="1"/>
    <xf numFmtId="0" fontId="4" fillId="0" borderId="1" xfId="0" applyFont="1" applyBorder="1"/>
    <xf numFmtId="3" fontId="4" fillId="0" borderId="1" xfId="0" applyNumberFormat="1" applyFont="1" applyBorder="1"/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1F7B-C4C8-4C23-8B87-2E8A2B731EBE}">
  <dimension ref="A1:G49"/>
  <sheetViews>
    <sheetView tabSelected="1" topLeftCell="A31" workbookViewId="0">
      <selection activeCell="D47" sqref="D47"/>
    </sheetView>
  </sheetViews>
  <sheetFormatPr defaultRowHeight="15.5"/>
  <cols>
    <col min="1" max="1" width="19.90625" style="3" bestFit="1" customWidth="1"/>
    <col min="2" max="2" width="24.36328125" style="4" bestFit="1" customWidth="1"/>
    <col min="3" max="3" width="22.81640625" style="5" bestFit="1" customWidth="1"/>
    <col min="4" max="4" width="21.1796875" style="3" bestFit="1" customWidth="1"/>
    <col min="5" max="5" width="12.6328125" style="3" bestFit="1" customWidth="1"/>
    <col min="6" max="6" width="12.08984375" style="3" bestFit="1" customWidth="1"/>
    <col min="7" max="7" width="18.81640625" style="3" bestFit="1" customWidth="1"/>
    <col min="8" max="8" width="21.90625" style="3" bestFit="1" customWidth="1"/>
    <col min="9" max="9" width="14.7265625" style="3" bestFit="1" customWidth="1"/>
    <col min="10" max="10" width="15" style="3" bestFit="1" customWidth="1"/>
    <col min="11" max="11" width="16.26953125" style="3" bestFit="1" customWidth="1"/>
    <col min="12" max="16384" width="8.7265625" style="3"/>
  </cols>
  <sheetData>
    <row r="1" spans="1:7">
      <c r="A1" s="14" t="s">
        <v>38</v>
      </c>
    </row>
    <row r="3" spans="1:7">
      <c r="A3" s="10" t="s">
        <v>44</v>
      </c>
      <c r="B3" s="11" t="s">
        <v>31</v>
      </c>
      <c r="C3" s="12" t="s">
        <v>32</v>
      </c>
      <c r="D3" s="13" t="s">
        <v>33</v>
      </c>
      <c r="E3" s="13" t="s">
        <v>36</v>
      </c>
      <c r="F3" s="10" t="s">
        <v>39</v>
      </c>
      <c r="G3" s="10" t="s">
        <v>40</v>
      </c>
    </row>
    <row r="4" spans="1:7">
      <c r="A4" s="1" t="s">
        <v>0</v>
      </c>
      <c r="B4" s="2">
        <v>588569</v>
      </c>
      <c r="C4" s="18">
        <v>13.08</v>
      </c>
      <c r="D4" s="9">
        <f>C4*B4/100</f>
        <v>76984.825200000007</v>
      </c>
      <c r="E4" s="6">
        <f>D4/B4</f>
        <v>0.1308</v>
      </c>
      <c r="F4" s="9">
        <f>D4-$D$43</f>
        <v>-31295.981447368395</v>
      </c>
      <c r="G4" s="9">
        <f>F4^2</f>
        <v>979438454.75402677</v>
      </c>
    </row>
    <row r="5" spans="1:7">
      <c r="A5" s="15" t="s">
        <v>1</v>
      </c>
      <c r="B5" s="2">
        <v>962941</v>
      </c>
      <c r="C5" s="18">
        <v>9.11</v>
      </c>
      <c r="D5" s="6">
        <f t="shared" ref="D5:D41" si="0">C5*B5/100</f>
        <v>87723.925099999993</v>
      </c>
      <c r="E5" s="6">
        <f t="shared" ref="E5:E41" si="1">D5/B5</f>
        <v>9.1099999999999987E-2</v>
      </c>
      <c r="F5" s="6">
        <f>D5-$D$43</f>
        <v>-20556.881547368408</v>
      </c>
      <c r="G5" s="6">
        <f>F5^2</f>
        <v>422585378.95253575</v>
      </c>
    </row>
    <row r="6" spans="1:7">
      <c r="A6" s="15" t="s">
        <v>2</v>
      </c>
      <c r="B6" s="2">
        <v>744516</v>
      </c>
      <c r="C6" s="18">
        <v>10.5</v>
      </c>
      <c r="D6" s="6">
        <f t="shared" si="0"/>
        <v>78174.179999999993</v>
      </c>
      <c r="E6" s="6">
        <f t="shared" si="1"/>
        <v>0.105</v>
      </c>
      <c r="F6" s="6">
        <f>D6-$D$43</f>
        <v>-30106.626647368408</v>
      </c>
      <c r="G6" s="6">
        <f t="shared" ref="G6:G41" si="2">F6^2</f>
        <v>906408968.08403349</v>
      </c>
    </row>
    <row r="7" spans="1:7">
      <c r="A7" s="15" t="s">
        <v>3</v>
      </c>
      <c r="B7" s="2">
        <v>1113847</v>
      </c>
      <c r="C7" s="18">
        <v>6.28</v>
      </c>
      <c r="D7" s="6">
        <f t="shared" si="0"/>
        <v>69949.5916</v>
      </c>
      <c r="E7" s="6">
        <f t="shared" si="1"/>
        <v>6.2799999999999995E-2</v>
      </c>
      <c r="F7" s="6">
        <f t="shared" ref="F7:F41" si="3">D7-$D$43</f>
        <v>-38331.215047368401</v>
      </c>
      <c r="G7" s="6">
        <f t="shared" si="2"/>
        <v>1469282047.0076017</v>
      </c>
    </row>
    <row r="8" spans="1:7">
      <c r="A8" s="15" t="s">
        <v>4</v>
      </c>
      <c r="B8" s="2">
        <v>1263645</v>
      </c>
      <c r="C8" s="18">
        <v>8.16</v>
      </c>
      <c r="D8" s="6">
        <f t="shared" si="0"/>
        <v>103113.43199999999</v>
      </c>
      <c r="E8" s="6">
        <f t="shared" si="1"/>
        <v>8.1599999999999992E-2</v>
      </c>
      <c r="F8" s="6">
        <f t="shared" si="3"/>
        <v>-5167.374647368415</v>
      </c>
      <c r="G8" s="6">
        <f t="shared" si="2"/>
        <v>26701760.746265851</v>
      </c>
    </row>
    <row r="9" spans="1:7">
      <c r="A9" s="15" t="s">
        <v>5</v>
      </c>
      <c r="B9" s="2">
        <v>1689916</v>
      </c>
      <c r="C9" s="19">
        <v>9.9499999999999993</v>
      </c>
      <c r="D9" s="6">
        <f t="shared" si="0"/>
        <v>168146.64199999999</v>
      </c>
      <c r="E9" s="6">
        <f t="shared" si="1"/>
        <v>9.9499999999999991E-2</v>
      </c>
      <c r="F9" s="6">
        <f t="shared" si="3"/>
        <v>59865.835352631591</v>
      </c>
      <c r="G9" s="6">
        <f t="shared" si="2"/>
        <v>3583918242.4683943</v>
      </c>
    </row>
    <row r="10" spans="1:7">
      <c r="A10" s="15" t="s">
        <v>6</v>
      </c>
      <c r="B10" s="2">
        <v>2735993</v>
      </c>
      <c r="C10" s="19">
        <v>8.98</v>
      </c>
      <c r="D10" s="6">
        <f t="shared" si="0"/>
        <v>245692.17139999999</v>
      </c>
      <c r="E10" s="6">
        <f t="shared" si="1"/>
        <v>8.9799999999999991E-2</v>
      </c>
      <c r="F10" s="6">
        <f t="shared" si="3"/>
        <v>137411.36475263158</v>
      </c>
      <c r="G10" s="6">
        <f t="shared" si="2"/>
        <v>18881883163.180759</v>
      </c>
    </row>
    <row r="11" spans="1:7">
      <c r="A11" s="15" t="s">
        <v>7</v>
      </c>
      <c r="B11" s="2">
        <v>1145849</v>
      </c>
      <c r="C11" s="19">
        <v>8.65</v>
      </c>
      <c r="D11" s="6">
        <f t="shared" si="0"/>
        <v>99115.938499999989</v>
      </c>
      <c r="E11" s="6">
        <f t="shared" si="1"/>
        <v>8.6499999999999994E-2</v>
      </c>
      <c r="F11" s="9">
        <f t="shared" si="3"/>
        <v>-9164.8681473684119</v>
      </c>
      <c r="G11" s="6">
        <f t="shared" si="2"/>
        <v>83994808.158648103</v>
      </c>
    </row>
    <row r="12" spans="1:7">
      <c r="A12" s="15" t="s">
        <v>8</v>
      </c>
      <c r="B12" s="2">
        <v>2603817</v>
      </c>
      <c r="C12" s="19">
        <v>9.01</v>
      </c>
      <c r="D12" s="6">
        <f t="shared" si="0"/>
        <v>234603.91169999997</v>
      </c>
      <c r="E12" s="6">
        <f t="shared" si="1"/>
        <v>9.0099999999999986E-2</v>
      </c>
      <c r="F12" s="6">
        <f t="shared" si="3"/>
        <v>126323.10505263157</v>
      </c>
      <c r="G12" s="6">
        <f t="shared" si="2"/>
        <v>15957526870.138191</v>
      </c>
    </row>
    <row r="13" spans="1:7">
      <c r="A13" s="15" t="s">
        <v>9</v>
      </c>
      <c r="B13" s="2">
        <v>1754393</v>
      </c>
      <c r="C13" s="19">
        <v>6.54</v>
      </c>
      <c r="D13" s="6">
        <f t="shared" si="0"/>
        <v>114737.30220000001</v>
      </c>
      <c r="E13" s="6">
        <f t="shared" si="1"/>
        <v>6.54E-2</v>
      </c>
      <c r="F13" s="6">
        <f t="shared" si="3"/>
        <v>6456.4955526316044</v>
      </c>
      <c r="G13" s="6">
        <f t="shared" si="2"/>
        <v>41686334.821151689</v>
      </c>
    </row>
    <row r="14" spans="1:7">
      <c r="A14" s="15" t="s">
        <v>10</v>
      </c>
      <c r="B14" s="2">
        <v>792309</v>
      </c>
      <c r="C14" s="19">
        <v>12.6</v>
      </c>
      <c r="D14" s="6">
        <f t="shared" si="0"/>
        <v>99830.934000000008</v>
      </c>
      <c r="E14" s="6">
        <f t="shared" si="1"/>
        <v>0.126</v>
      </c>
      <c r="F14" s="6">
        <f t="shared" si="3"/>
        <v>-8449.8726473683928</v>
      </c>
      <c r="G14" s="6">
        <f t="shared" si="2"/>
        <v>71400347.756744534</v>
      </c>
    </row>
    <row r="15" spans="1:7">
      <c r="A15" s="15" t="s">
        <v>11</v>
      </c>
      <c r="B15" s="2">
        <v>700719</v>
      </c>
      <c r="C15" s="19">
        <v>11.51</v>
      </c>
      <c r="D15" s="6">
        <f t="shared" si="0"/>
        <v>80652.756899999993</v>
      </c>
      <c r="E15" s="6">
        <f t="shared" si="1"/>
        <v>0.11509999999999999</v>
      </c>
      <c r="F15" s="6">
        <f t="shared" si="3"/>
        <v>-27628.049747368408</v>
      </c>
      <c r="G15" s="6">
        <f t="shared" si="2"/>
        <v>763309132.84306359</v>
      </c>
    </row>
    <row r="16" spans="1:7">
      <c r="A16" s="15" t="s">
        <v>12</v>
      </c>
      <c r="B16" s="2">
        <v>1185242</v>
      </c>
      <c r="C16" s="19">
        <v>16.45</v>
      </c>
      <c r="D16" s="6">
        <f t="shared" si="0"/>
        <v>194972.30899999998</v>
      </c>
      <c r="E16" s="6">
        <f t="shared" si="1"/>
        <v>0.16449999999999998</v>
      </c>
      <c r="F16" s="6">
        <f t="shared" si="3"/>
        <v>86691.502352631578</v>
      </c>
      <c r="G16" s="6">
        <f t="shared" si="2"/>
        <v>7515416580.1563263</v>
      </c>
    </row>
    <row r="17" spans="1:7">
      <c r="A17" s="15" t="s">
        <v>28</v>
      </c>
      <c r="B17" s="2">
        <v>1657216</v>
      </c>
      <c r="C17" s="19">
        <v>8.6300000000000008</v>
      </c>
      <c r="D17" s="6">
        <f t="shared" si="0"/>
        <v>143017.74080000003</v>
      </c>
      <c r="E17" s="6">
        <f t="shared" si="1"/>
        <v>8.6300000000000016E-2</v>
      </c>
      <c r="F17" s="6">
        <f t="shared" si="3"/>
        <v>34736.934152631628</v>
      </c>
      <c r="G17" s="6">
        <f t="shared" si="2"/>
        <v>1206654594.3242655</v>
      </c>
    </row>
    <row r="18" spans="1:7">
      <c r="A18" s="15" t="s">
        <v>13</v>
      </c>
      <c r="B18" s="2">
        <v>2171480</v>
      </c>
      <c r="C18" s="19">
        <v>4.53</v>
      </c>
      <c r="D18" s="6">
        <f t="shared" si="0"/>
        <v>98368.044000000009</v>
      </c>
      <c r="E18" s="6">
        <f t="shared" si="1"/>
        <v>4.5300000000000007E-2</v>
      </c>
      <c r="F18" s="6">
        <f t="shared" si="3"/>
        <v>-9912.7626473683922</v>
      </c>
      <c r="G18" s="6">
        <f t="shared" si="2"/>
        <v>98262863.303062022</v>
      </c>
    </row>
    <row r="19" spans="1:7">
      <c r="A19" s="15" t="s">
        <v>14</v>
      </c>
      <c r="B19" s="2">
        <v>1154257</v>
      </c>
      <c r="C19" s="19">
        <v>9.3699999999999992</v>
      </c>
      <c r="D19" s="6">
        <f t="shared" si="0"/>
        <v>108153.8809</v>
      </c>
      <c r="E19" s="6">
        <f t="shared" si="1"/>
        <v>9.3700000000000006E-2</v>
      </c>
      <c r="F19" s="6">
        <f t="shared" si="3"/>
        <v>-126.92574736839742</v>
      </c>
      <c r="G19" s="6">
        <f t="shared" si="2"/>
        <v>16110.145345026245</v>
      </c>
    </row>
    <row r="20" spans="1:7">
      <c r="A20" s="15" t="s">
        <v>15</v>
      </c>
      <c r="B20" s="2">
        <v>1362697</v>
      </c>
      <c r="C20" s="19">
        <v>8.6</v>
      </c>
      <c r="D20" s="6">
        <f t="shared" si="0"/>
        <v>117191.942</v>
      </c>
      <c r="E20" s="6">
        <f t="shared" si="1"/>
        <v>8.5999999999999993E-2</v>
      </c>
      <c r="F20" s="6">
        <f t="shared" si="3"/>
        <v>8911.1353526315943</v>
      </c>
      <c r="G20" s="6">
        <f t="shared" si="2"/>
        <v>79408333.272920609</v>
      </c>
    </row>
    <row r="21" spans="1:7">
      <c r="A21" s="15" t="s">
        <v>16</v>
      </c>
      <c r="B21" s="2">
        <v>1131777</v>
      </c>
      <c r="C21" s="19">
        <v>10.17</v>
      </c>
      <c r="D21" s="6">
        <f t="shared" si="0"/>
        <v>115101.7209</v>
      </c>
      <c r="E21" s="6">
        <f t="shared" si="1"/>
        <v>0.1017</v>
      </c>
      <c r="F21" s="6">
        <f t="shared" si="3"/>
        <v>6820.9142526315991</v>
      </c>
      <c r="G21" s="6">
        <f t="shared" si="2"/>
        <v>46524871.241752885</v>
      </c>
    </row>
    <row r="22" spans="1:7">
      <c r="A22" s="15" t="s">
        <v>17</v>
      </c>
      <c r="B22" s="2">
        <v>757839</v>
      </c>
      <c r="C22" s="19">
        <v>10.63</v>
      </c>
      <c r="D22" s="6">
        <f t="shared" si="0"/>
        <v>80558.285700000008</v>
      </c>
      <c r="E22" s="6">
        <f t="shared" si="1"/>
        <v>0.10630000000000001</v>
      </c>
      <c r="F22" s="6">
        <f t="shared" si="3"/>
        <v>-27722.520947368394</v>
      </c>
      <c r="G22" s="6">
        <f t="shared" si="2"/>
        <v>768538167.67727935</v>
      </c>
    </row>
    <row r="23" spans="1:7">
      <c r="A23" s="15" t="s">
        <v>18</v>
      </c>
      <c r="B23" s="2">
        <v>685500</v>
      </c>
      <c r="C23" s="19">
        <v>9.32</v>
      </c>
      <c r="D23" s="6">
        <f t="shared" si="0"/>
        <v>63888.6</v>
      </c>
      <c r="E23" s="6">
        <f t="shared" si="1"/>
        <v>9.3199999999999991E-2</v>
      </c>
      <c r="F23" s="6">
        <f t="shared" si="3"/>
        <v>-44392.206647368403</v>
      </c>
      <c r="G23" s="6">
        <f t="shared" si="2"/>
        <v>1970668011.0226593</v>
      </c>
    </row>
    <row r="24" spans="1:7">
      <c r="A24" s="15" t="s">
        <v>19</v>
      </c>
      <c r="B24" s="2">
        <v>884086</v>
      </c>
      <c r="C24" s="19">
        <v>13.81</v>
      </c>
      <c r="D24" s="6">
        <f t="shared" si="0"/>
        <v>122092.2766</v>
      </c>
      <c r="E24" s="6">
        <f t="shared" si="1"/>
        <v>0.1381</v>
      </c>
      <c r="F24" s="6">
        <f t="shared" si="3"/>
        <v>13811.469952631596</v>
      </c>
      <c r="G24" s="6">
        <f t="shared" si="2"/>
        <v>190756702.25244543</v>
      </c>
    </row>
    <row r="25" spans="1:7">
      <c r="A25" s="15" t="s">
        <v>20</v>
      </c>
      <c r="B25" s="2">
        <v>1325299</v>
      </c>
      <c r="C25" s="19">
        <v>11.69</v>
      </c>
      <c r="D25" s="6">
        <f t="shared" si="0"/>
        <v>154927.45309999998</v>
      </c>
      <c r="E25" s="6">
        <f t="shared" si="1"/>
        <v>0.11689999999999999</v>
      </c>
      <c r="F25" s="6">
        <f t="shared" si="3"/>
        <v>46646.646452631583</v>
      </c>
      <c r="G25" s="6">
        <f t="shared" si="2"/>
        <v>2175909625.2768068</v>
      </c>
    </row>
    <row r="26" spans="1:7">
      <c r="A26" s="15" t="s">
        <v>21</v>
      </c>
      <c r="B26" s="2">
        <v>1225205</v>
      </c>
      <c r="C26" s="19">
        <v>14.36</v>
      </c>
      <c r="D26" s="6">
        <f t="shared" si="0"/>
        <v>175939.43799999999</v>
      </c>
      <c r="E26" s="6">
        <f t="shared" si="1"/>
        <v>0.14360000000000001</v>
      </c>
      <c r="F26" s="6">
        <f t="shared" si="3"/>
        <v>67658.631352631593</v>
      </c>
      <c r="G26" s="6">
        <f t="shared" si="2"/>
        <v>4577690396.5113029</v>
      </c>
    </row>
    <row r="27" spans="1:7">
      <c r="A27" s="15" t="s">
        <v>22</v>
      </c>
      <c r="B27" s="16">
        <v>1378147</v>
      </c>
      <c r="C27" s="19">
        <v>12.16</v>
      </c>
      <c r="D27" s="6">
        <f t="shared" si="0"/>
        <v>167582.6752</v>
      </c>
      <c r="E27" s="6">
        <f t="shared" si="1"/>
        <v>0.1216</v>
      </c>
      <c r="F27" s="6">
        <f t="shared" si="3"/>
        <v>59301.868552631597</v>
      </c>
      <c r="G27" s="6">
        <f t="shared" si="2"/>
        <v>3516711613.8335962</v>
      </c>
    </row>
    <row r="28" spans="1:7">
      <c r="A28" s="15" t="s">
        <v>23</v>
      </c>
      <c r="B28" s="16">
        <v>1364019</v>
      </c>
      <c r="C28" s="19">
        <v>10.32</v>
      </c>
      <c r="D28" s="6">
        <f t="shared" si="0"/>
        <v>140766.76079999999</v>
      </c>
      <c r="E28" s="6">
        <f t="shared" si="1"/>
        <v>0.10319999999999999</v>
      </c>
      <c r="F28" s="6">
        <f t="shared" si="3"/>
        <v>32485.954152631588</v>
      </c>
      <c r="G28" s="6">
        <f t="shared" si="2"/>
        <v>1055337217.2068815</v>
      </c>
    </row>
    <row r="29" spans="1:7">
      <c r="A29" s="15" t="s">
        <v>24</v>
      </c>
      <c r="B29" s="16">
        <v>1102522</v>
      </c>
      <c r="C29" s="19">
        <v>18.66</v>
      </c>
      <c r="D29" s="6">
        <f t="shared" si="0"/>
        <v>205730.60519999999</v>
      </c>
      <c r="E29" s="6">
        <f t="shared" si="1"/>
        <v>0.18659999999999999</v>
      </c>
      <c r="F29" s="6">
        <f t="shared" si="3"/>
        <v>97449.79855263159</v>
      </c>
      <c r="G29" s="6">
        <f t="shared" si="2"/>
        <v>9496463237.9484787</v>
      </c>
    </row>
    <row r="30" spans="1:7">
      <c r="A30" s="15" t="s">
        <v>25</v>
      </c>
      <c r="B30" s="16">
        <v>1016254</v>
      </c>
      <c r="C30" s="19">
        <v>20.83</v>
      </c>
      <c r="D30" s="6">
        <f t="shared" si="0"/>
        <v>211685.70819999996</v>
      </c>
      <c r="E30" s="6">
        <f t="shared" si="1"/>
        <v>0.20829999999999996</v>
      </c>
      <c r="F30" s="6">
        <f t="shared" si="3"/>
        <v>103404.90155263156</v>
      </c>
      <c r="G30" s="6">
        <f t="shared" si="2"/>
        <v>10692573665.109425</v>
      </c>
    </row>
    <row r="31" spans="1:7">
      <c r="A31" s="15" t="s">
        <v>26</v>
      </c>
      <c r="B31" s="16">
        <v>884697</v>
      </c>
      <c r="C31" s="18">
        <v>13.41</v>
      </c>
      <c r="D31" s="6">
        <f t="shared" si="0"/>
        <v>118637.8677</v>
      </c>
      <c r="E31" s="6">
        <f t="shared" si="1"/>
        <v>0.1341</v>
      </c>
      <c r="F31" s="6">
        <f t="shared" si="3"/>
        <v>10357.061052631601</v>
      </c>
      <c r="G31" s="6">
        <f t="shared" si="2"/>
        <v>107268713.64793842</v>
      </c>
    </row>
    <row r="32" spans="1:7">
      <c r="A32" s="15" t="s">
        <v>27</v>
      </c>
      <c r="B32" s="16">
        <v>1153188</v>
      </c>
      <c r="C32" s="18">
        <v>17.78</v>
      </c>
      <c r="D32" s="6">
        <f t="shared" si="0"/>
        <v>205036.82640000002</v>
      </c>
      <c r="E32" s="6">
        <f t="shared" si="1"/>
        <v>0.17780000000000001</v>
      </c>
      <c r="F32" s="6">
        <f t="shared" si="3"/>
        <v>96756.019752631619</v>
      </c>
      <c r="G32" s="6">
        <f t="shared" si="2"/>
        <v>9361727358.3716393</v>
      </c>
    </row>
    <row r="33" spans="1:7">
      <c r="A33" s="15" t="s">
        <v>5</v>
      </c>
      <c r="B33" s="16">
        <v>298227</v>
      </c>
      <c r="C33" s="18">
        <v>6.51</v>
      </c>
      <c r="D33" s="6">
        <f t="shared" si="0"/>
        <v>19414.577700000002</v>
      </c>
      <c r="E33" s="6">
        <f t="shared" si="1"/>
        <v>6.5100000000000005E-2</v>
      </c>
      <c r="F33" s="6">
        <f t="shared" si="3"/>
        <v>-88866.228947368392</v>
      </c>
      <c r="G33" s="6">
        <f t="shared" si="2"/>
        <v>7897206647.3260956</v>
      </c>
    </row>
    <row r="34" spans="1:7">
      <c r="A34" s="15" t="s">
        <v>4</v>
      </c>
      <c r="B34" s="16">
        <v>154867</v>
      </c>
      <c r="C34" s="18">
        <v>6.75</v>
      </c>
      <c r="D34" s="6">
        <f t="shared" si="0"/>
        <v>10453.522499999999</v>
      </c>
      <c r="E34" s="6">
        <f t="shared" si="1"/>
        <v>6.7499999999999991E-2</v>
      </c>
      <c r="F34" s="6">
        <f t="shared" si="3"/>
        <v>-97827.284147368395</v>
      </c>
      <c r="G34" s="6">
        <f t="shared" si="2"/>
        <v>9570177523.6499557</v>
      </c>
    </row>
    <row r="35" spans="1:7">
      <c r="A35" s="15" t="s">
        <v>6</v>
      </c>
      <c r="B35" s="16">
        <v>872694</v>
      </c>
      <c r="C35" s="18">
        <v>3.91</v>
      </c>
      <c r="D35" s="6">
        <f t="shared" si="0"/>
        <v>34122.335400000004</v>
      </c>
      <c r="E35" s="6">
        <f t="shared" si="1"/>
        <v>3.9100000000000003E-2</v>
      </c>
      <c r="F35" s="6">
        <f t="shared" si="3"/>
        <v>-74158.471247368405</v>
      </c>
      <c r="G35" s="6">
        <f t="shared" si="2"/>
        <v>5499478857.7467661</v>
      </c>
    </row>
    <row r="36" spans="1:7">
      <c r="A36" s="15" t="s">
        <v>12</v>
      </c>
      <c r="B36" s="16">
        <v>249539</v>
      </c>
      <c r="C36" s="18">
        <v>6.18</v>
      </c>
      <c r="D36" s="6">
        <f t="shared" si="0"/>
        <v>15421.510200000001</v>
      </c>
      <c r="E36" s="6">
        <f t="shared" si="1"/>
        <v>6.1800000000000001E-2</v>
      </c>
      <c r="F36" s="6">
        <f t="shared" si="3"/>
        <v>-92859.296447368397</v>
      </c>
      <c r="G36" s="6">
        <f t="shared" si="2"/>
        <v>8622848936.7002449</v>
      </c>
    </row>
    <row r="37" spans="1:7">
      <c r="A37" s="15" t="s">
        <v>28</v>
      </c>
      <c r="B37" s="16">
        <v>219392</v>
      </c>
      <c r="C37" s="18">
        <v>6.32</v>
      </c>
      <c r="D37" s="6">
        <f t="shared" si="0"/>
        <v>13865.574400000001</v>
      </c>
      <c r="E37" s="6">
        <f t="shared" si="1"/>
        <v>6.3200000000000006E-2</v>
      </c>
      <c r="F37" s="6">
        <f t="shared" si="3"/>
        <v>-94415.232247368403</v>
      </c>
      <c r="G37" s="6">
        <f t="shared" si="2"/>
        <v>8914236080.3245144</v>
      </c>
    </row>
    <row r="38" spans="1:7">
      <c r="A38" s="15" t="s">
        <v>14</v>
      </c>
      <c r="B38" s="16">
        <v>137393</v>
      </c>
      <c r="C38" s="18">
        <v>5.57</v>
      </c>
      <c r="D38" s="6">
        <f t="shared" si="0"/>
        <v>7652.7901000000002</v>
      </c>
      <c r="E38" s="6">
        <f t="shared" si="1"/>
        <v>5.57E-2</v>
      </c>
      <c r="F38" s="6">
        <f>D38-$D$43</f>
        <v>-100628.0165473684</v>
      </c>
      <c r="G38" s="6">
        <f t="shared" si="2"/>
        <v>10125997714.257448</v>
      </c>
    </row>
    <row r="39" spans="1:7">
      <c r="A39" s="15" t="s">
        <v>17</v>
      </c>
      <c r="B39" s="16">
        <v>201767</v>
      </c>
      <c r="C39" s="18">
        <v>4.38</v>
      </c>
      <c r="D39" s="6">
        <f t="shared" si="0"/>
        <v>8837.3945999999996</v>
      </c>
      <c r="E39" s="6">
        <f t="shared" si="1"/>
        <v>4.3799999999999999E-2</v>
      </c>
      <c r="F39" s="6">
        <f t="shared" si="3"/>
        <v>-99443.412047368402</v>
      </c>
      <c r="G39" s="6">
        <f t="shared" si="2"/>
        <v>9888992199.622694</v>
      </c>
    </row>
    <row r="40" spans="1:7">
      <c r="A40" s="15" t="s">
        <v>29</v>
      </c>
      <c r="B40" s="16">
        <v>2921996</v>
      </c>
      <c r="C40" s="18">
        <v>3.96</v>
      </c>
      <c r="D40" s="6">
        <f t="shared" si="0"/>
        <v>115711.0416</v>
      </c>
      <c r="E40" s="6">
        <f t="shared" si="1"/>
        <v>3.9599999999999996E-2</v>
      </c>
      <c r="F40" s="6">
        <f t="shared" si="3"/>
        <v>7430.2349526315957</v>
      </c>
      <c r="G40" s="6">
        <f t="shared" si="2"/>
        <v>55208391.45130825</v>
      </c>
    </row>
    <row r="41" spans="1:7">
      <c r="A41" s="15" t="s">
        <v>30</v>
      </c>
      <c r="B41" s="16">
        <v>222685</v>
      </c>
      <c r="C41" s="18">
        <v>3.06</v>
      </c>
      <c r="D41" s="6">
        <f t="shared" si="0"/>
        <v>6814.1610000000001</v>
      </c>
      <c r="E41" s="6">
        <f t="shared" si="1"/>
        <v>3.0599999999999999E-2</v>
      </c>
      <c r="F41" s="6">
        <f t="shared" si="3"/>
        <v>-101466.64564736839</v>
      </c>
      <c r="G41" s="6">
        <f t="shared" si="2"/>
        <v>10295480178.928623</v>
      </c>
    </row>
    <row r="42" spans="1:7">
      <c r="C42" s="7" t="s">
        <v>34</v>
      </c>
      <c r="D42" s="8">
        <f>SUM(D4:D41)</f>
        <v>4114670.6525999992</v>
      </c>
    </row>
    <row r="43" spans="1:7">
      <c r="C43" s="7" t="s">
        <v>35</v>
      </c>
      <c r="D43" s="8">
        <f>AVERAGE(D4:D41)</f>
        <v>108280.8066473684</v>
      </c>
    </row>
    <row r="44" spans="1:7">
      <c r="C44" s="7" t="s">
        <v>37</v>
      </c>
      <c r="D44" s="8">
        <f>SUM(E4:E41)</f>
        <v>3.7173000000000003</v>
      </c>
    </row>
    <row r="45" spans="1:7">
      <c r="C45" s="7" t="s">
        <v>36</v>
      </c>
      <c r="D45" s="8">
        <f>D44/38</f>
        <v>9.7823684210526327E-2</v>
      </c>
      <c r="E45" s="17"/>
    </row>
    <row r="46" spans="1:7">
      <c r="C46" s="7" t="s">
        <v>34</v>
      </c>
      <c r="D46" s="8">
        <f>D42/38*514</f>
        <v>55656334.616747357</v>
      </c>
    </row>
    <row r="47" spans="1:7">
      <c r="C47" s="7" t="s">
        <v>43</v>
      </c>
      <c r="D47" s="8">
        <f>SUM(G4:G41)</f>
        <v>166917690100.22116</v>
      </c>
    </row>
    <row r="48" spans="1:7">
      <c r="C48" s="7" t="s">
        <v>41</v>
      </c>
      <c r="D48" s="8">
        <f>D47/37</f>
        <v>4511288921.6275988</v>
      </c>
    </row>
    <row r="49" spans="3:4">
      <c r="C49" s="7" t="s">
        <v>42</v>
      </c>
      <c r="D49" s="8">
        <f>1-D45</f>
        <v>0.90217631578947366</v>
      </c>
    </row>
  </sheetData>
  <sortState xmlns:xlrd2="http://schemas.microsoft.com/office/spreadsheetml/2017/richdata2" ref="A4:K49">
    <sortCondition ref="K4:K4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Putri</dc:creator>
  <cp:lastModifiedBy>Oktaviani Eka Putri</cp:lastModifiedBy>
  <dcterms:created xsi:type="dcterms:W3CDTF">2025-09-29T10:10:27Z</dcterms:created>
  <dcterms:modified xsi:type="dcterms:W3CDTF">2026-05-27T02:03:13Z</dcterms:modified>
</cp:coreProperties>
</file>